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98692d767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35901905ece4ab4"/>
    <x:sheet xmlns:r="http://schemas.openxmlformats.org/officeDocument/2006/relationships" name="Requirements" sheetId="2" r:id="Ra7224acea199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sz val="10"/>
      <x:color rgb="FF253248"/>
      <x:name val="Arial"/>
    </x:font>
    <x:font>
      <x:b/>
      <x:sz val="19"/>
      <x:color rgb="FF172033"/>
      <x:name val="Arial"/>
    </x:font>
    <x:font>
      <x:i/>
      <x:sz val="10"/>
      <x:color rgb="FF657184"/>
      <x:name val="Arial"/>
    </x:font>
    <x:font>
      <x:sz val="10"/>
      <x:color rgb="FF657184"/>
      <x:name val="Arial"/>
    </x:font>
    <x:font>
      <x:b/>
      <x:sz val="10"/>
      <x:color rgb="FFFFFFFF"/>
      <x:name val="Arial"/>
    </x:font>
    <x:font>
      <x:b/>
      <x:sz val="10"/>
      <x:color rgb="FF5B6680"/>
      <x:name val="Arial"/>
    </x:font>
    <x:font>
      <x:b/>
      <x:sz val="10"/>
      <x:color rgb="FF27344A"/>
      <x:name val="Arial"/>
    </x:font>
    <x:font>
      <x:b/>
      <x:sz val="11"/>
      <x:color rgb="FF172033"/>
      <x:name val="Arial"/>
    </x:font>
    <x:font>
      <x:b/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344A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86747"/>
      </x:font>
      <x:fill>
        <x:patternFill>
          <x:bgColor rgb="FFE8F5ED"/>
        </x:patternFill>
      </x:fill>
    </x:dxf>
    <x:dxf>
      <x:font>
        <x:b/>
        <x:color rgb="FF88611B"/>
      </x:font>
      <x:fill>
        <x:patternFill>
          <x:bgColor rgb="FFFFF3DA"/>
        </x:patternFill>
      </x:fill>
    </x:dxf>
    <x:dxf>
      <x:font>
        <x:color rgb="FF5B6680"/>
      </x:font>
      <x:fill>
        <x:patternFill>
          <x:bgColor rgb="FFEEF2F7"/>
        </x:patternFill>
      </x:fill>
    </x:dxf>
    <x:dxf>
      <x:font>
        <x:b/>
        <x:color rgb="FF286747"/>
      </x:font>
      <x:fill>
        <x:patternFill>
          <x:bgColor rgb="FFE8F5ED"/>
        </x:patternFill>
      </x:fill>
    </x:dxf>
    <x:dxf>
      <x:font>
        <x:b/>
        <x:color rgb="FF88611B"/>
      </x:font>
      <x:fill>
        <x:patternFill>
          <x:bgColor rgb="FFFFF3DA"/>
        </x:patternFill>
      </x:fill>
    </x:dxf>
    <x:dxf>
      <x:font>
        <x:color rgb="FF5B6680"/>
      </x:font>
      <x:fill>
        <x:patternFill>
          <x:bgColor rgb="FFEEF2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30e6288c742dc" /><Relationship Type="http://schemas.openxmlformats.org/officeDocument/2006/relationships/theme" Target="/xl/theme/theme1.xml" Id="R66493d0b8a1d464c" /><Relationship Type="http://schemas.openxmlformats.org/officeDocument/2006/relationships/sharedStrings" Target="/xl/sharedStrings.xml" Id="R12dee98675d649e7" /><Relationship Type="http://schemas.openxmlformats.org/officeDocument/2006/relationships/worksheet" Target="/xl/worksheets/sheet1.xml" Id="R135901905ece4ab4" /><Relationship Type="http://schemas.openxmlformats.org/officeDocument/2006/relationships/worksheet" Target="/xl/worksheets/sheet2.xml" Id="Ra7224acea19949a7" /></Relationships>
</file>

<file path=xl/tables/table1.xml><?xml version="1.0" encoding="utf-8"?>
<x:table xmlns:x="http://schemas.openxmlformats.org/spreadsheetml/2006/main" id="1" name="RequirementsTable" displayName="RequirementsTable" ref="A5:F95" headerRowCount="1" totalsRowCount="0" totalsRowShown="0">
  <x:tableColumns count="6">
    <x:tableColumn id="1" name="ID"/>
    <x:tableColumn id="2" name="Module"/>
    <x:tableColumn id="3" name="Requirement"/>
    <x:tableColumn id="4" name="Status"/>
    <x:tableColumn id="5" name="Target build"/>
    <x:tableColumn id="6" name="Current state or delivery no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7f1eef25e846cb" /></Relationships>
</file>

<file path=xl/worksheets/sheet1.xml><?xml version="1.0" encoding="utf-8"?>
<x:worksheet xmlns:x="http://schemas.openxmlformats.org/spreadsheetml/2006/main">
  <x:sheetPr>
    <x:tabColor rgb="FF27344A"/>
  </x:sheetPr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9" hidden="0" customWidth="1"/>
    <x:col min="6" max="6" width="15" hidden="0" customWidth="1"/>
    <x:col min="7" max="7" width="72" hidden="0" customWidth="1"/>
  </x:cols>
  <x:sheetData>
    <x:row r="1" ht="34" customHeight="1">
      <x:c r="A1" s="2" t="str">
        <x:v>VidCircle requirements</x:v>
      </x:c>
      <x:c r="B1" s="1"/>
      <x:c r="C1" s="1"/>
      <x:c r="D1" s="1"/>
      <x:c r="E1" s="1"/>
      <x:c r="F1" s="1"/>
      <x:c r="G1" s="1"/>
    </x:row>
    <x:row r="2" ht="25" customHeight="1">
      <x:c r="A2" s="3" t="str">
        <x:v>Six-task internship brief and local prototype status | 24 September 2026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0" customHeight="1">
      <x:c r="A4" s="7" t="str">
        <x:v>Module</x:v>
      </x:c>
      <x:c r="B4" s="7" t="str">
        <x:v>Completed</x:v>
      </x:c>
      <x:c r="C4" s="7" t="str">
        <x:v>In progress</x:v>
      </x:c>
      <x:c r="D4" s="7" t="str">
        <x:v>Planned</x:v>
      </x:c>
      <x:c r="E4" s="7" t="str">
        <x:v>Overall status</x:v>
      </x:c>
      <x:c r="F4" s="7" t="str">
        <x:v>Target build</x:v>
      </x:c>
      <x:c r="G4" s="7" t="str">
        <x:v>Current position</x:v>
      </x:c>
    </x:row>
    <x:row r="5" ht="50" customHeight="1">
      <x:c r="A5" s="12" t="str">
        <x:v>Prototype foundation</x:v>
      </x:c>
      <x:c r="B5" s="14" t="n">
        <x:f>COUNTIFS('Requirements'!$B$6:$B$95,$A5,'Requirements'!$D$6:$D$95,"Completed")</x:f>
        <x:v>5</x:v>
      </x:c>
      <x:c r="C5" s="14" t="n">
        <x:f>COUNTIFS('Requirements'!$B$6:$B$95,$A5,'Requirements'!$D$6:$D$95,"In progress")</x:f>
        <x:v>0</x:v>
      </x:c>
      <x:c r="D5" s="14" t="n">
        <x:f>COUNTIFS('Requirements'!$B$6:$B$95,$A5,'Requirements'!$D$6:$D$95,"Planned")</x:f>
        <x:v>0</x:v>
      </x:c>
      <x:c r="E5" s="15" t="str">
        <x:f>IF(D5=0,IF(C5=0,"Completed","In progress"),IF(B5+C5&gt;0,"In progress","Planned"))</x:f>
        <x:v>Completed</x:v>
      </x:c>
      <x:c r="F5" s="15" t="str">
        <x:v>Build 1</x:v>
      </x:c>
      <x:c r="G5" s="9" t="str">
        <x:v>Accounts, channels, dashboard, upload and native playback work locally; Build 1 is complete.</x:v>
      </x:c>
    </x:row>
    <x:row r="6" ht="50" customHeight="1">
      <x:c r="A6" s="12" t="str">
        <x:v>Multilingual comments</x:v>
      </x:c>
      <x:c r="B6" s="14" t="n">
        <x:f>COUNTIFS('Requirements'!$B$6:$B$95,$A6,'Requirements'!$D$6:$D$95,"Completed")</x:f>
        <x:v>0</x:v>
      </x:c>
      <x:c r="C6" s="14" t="n">
        <x:f>COUNTIFS('Requirements'!$B$6:$B$95,$A6,'Requirements'!$D$6:$D$95,"In progress")</x:f>
        <x:v>0</x:v>
      </x:c>
      <x:c r="D6" s="14" t="n">
        <x:f>COUNTIFS('Requirements'!$B$6:$B$95,$A6,'Requirements'!$D$6:$D$95,"Planned")</x:f>
        <x:v>18</x:v>
      </x:c>
      <x:c r="E6" s="15" t="str">
        <x:f>IF(D6=0,IF(C6=0,"Completed","In progress"),IF(B6+C6&gt;0,"In progress","Planned"))</x:f>
        <x:v>Planned</x:v>
      </x:c>
      <x:c r="F6" s="15" t="str">
        <x:v>Build 4</x:v>
      </x:c>
      <x:c r="G6" s="9" t="str">
        <x:v>A legacy CRUD scaffold exists, but the requested comment flow and safeguards are not delivered.</x:v>
      </x:c>
    </x:row>
    <x:row r="7" ht="50" customHeight="1">
      <x:c r="A7" s="12" t="str">
        <x:v>Controlled downloads</x:v>
      </x:c>
      <x:c r="B7" s="14" t="n">
        <x:f>COUNTIFS('Requirements'!$B$6:$B$95,$A7,'Requirements'!$D$6:$D$95,"Completed")</x:f>
        <x:v>0</x:v>
      </x:c>
      <x:c r="C7" s="14" t="n">
        <x:f>COUNTIFS('Requirements'!$B$6:$B$95,$A7,'Requirements'!$D$6:$D$95,"In progress")</x:f>
        <x:v>0</x:v>
      </x:c>
      <x:c r="D7" s="14" t="n">
        <x:f>COUNTIFS('Requirements'!$B$6:$B$95,$A7,'Requirements'!$D$6:$D$95,"Planned")</x:f>
        <x:v>12</x:v>
      </x:c>
      <x:c r="E7" s="15" t="str">
        <x:f>IF(D7=0,IF(C7=0,"Completed","In progress"),IF(B7+C7&gt;0,"In progress","Planned"))</x:f>
        <x:v>Planned</x:v>
      </x:c>
      <x:c r="F7" s="15" t="str">
        <x:v>Build 5</x:v>
      </x:c>
      <x:c r="G7" s="9" t="str">
        <x:v>No quota-controlled download flow or Downloads page exists yet.</x:v>
      </x:c>
    </x:row>
    <x:row r="8" ht="50" customHeight="1">
      <x:c r="A8" s="12" t="str">
        <x:v>Video calls</x:v>
      </x:c>
      <x:c r="B8" s="14" t="n">
        <x:f>COUNTIFS('Requirements'!$B$6:$B$95,$A8,'Requirements'!$D$6:$D$95,"Completed")</x:f>
        <x:v>0</x:v>
      </x:c>
      <x:c r="C8" s="14" t="n">
        <x:f>COUNTIFS('Requirements'!$B$6:$B$95,$A8,'Requirements'!$D$6:$D$95,"In progress")</x:f>
        <x:v>0</x:v>
      </x:c>
      <x:c r="D8" s="14" t="n">
        <x:f>COUNTIFS('Requirements'!$B$6:$B$95,$A8,'Requirements'!$D$6:$D$95,"Planned")</x:f>
        <x:v>15</x:v>
      </x:c>
      <x:c r="E8" s="15" t="str">
        <x:f>IF(D8=0,IF(C8=0,"Completed","In progress"),IF(B8+C8&gt;0,"In progress","Planned"))</x:f>
        <x:v>Planned</x:v>
      </x:c>
      <x:c r="F8" s="15" t="str">
        <x:v>Build 7</x:v>
      </x:c>
      <x:c r="G8" s="9" t="str">
        <x:v>No call rooms yet; local small-room WebRTC is the prototype plan.</x:v>
      </x:c>
    </x:row>
    <x:row r="9" ht="50" customHeight="1">
      <x:c r="A9" s="12" t="str">
        <x:v>Custom video player</x:v>
      </x:c>
      <x:c r="B9" s="14" t="n">
        <x:f>COUNTIFS('Requirements'!$B$6:$B$95,$A9,'Requirements'!$D$6:$D$95,"Completed")</x:f>
        <x:v>0</x:v>
      </x:c>
      <x:c r="C9" s="14" t="n">
        <x:f>COUNTIFS('Requirements'!$B$6:$B$95,$A9,'Requirements'!$D$6:$D$95,"In progress")</x:f>
        <x:v>1</x:v>
      </x:c>
      <x:c r="D9" s="14" t="n">
        <x:f>COUNTIFS('Requirements'!$B$6:$B$95,$A9,'Requirements'!$D$6:$D$95,"Planned")</x:f>
        <x:v>14</x:v>
      </x:c>
      <x:c r="E9" s="15" t="str">
        <x:f>IF(D9=0,IF(C9=0,"Completed","In progress"),IF(B9+C9&gt;0,"In progress","Planned"))</x:f>
        <x:v>In progress</x:v>
      </x:c>
      <x:c r="F9" s="15" t="str">
        <x:v>Build 3</x:v>
      </x:c>
      <x:c r="G9" s="9" t="str">
        <x:v>Uploaded MP4s play with browser controls; the requested custom player is not built.</x:v>
      </x:c>
    </x:row>
    <x:row r="10" ht="50" customHeight="1">
      <x:c r="A10" s="12" t="str">
        <x:v>Login security and themes</x:v>
      </x:c>
      <x:c r="B10" s="14" t="n">
        <x:f>COUNTIFS('Requirements'!$B$6:$B$95,$A10,'Requirements'!$D$6:$D$95,"Completed")</x:f>
        <x:v>0</x:v>
      </x:c>
      <x:c r="C10" s="14" t="n">
        <x:f>COUNTIFS('Requirements'!$B$6:$B$95,$A10,'Requirements'!$D$6:$D$95,"In progress")</x:f>
        <x:v>1</x:v>
      </x:c>
      <x:c r="D10" s="14" t="n">
        <x:f>COUNTIFS('Requirements'!$B$6:$B$95,$A10,'Requirements'!$D$6:$D$95,"Planned")</x:f>
        <x:v>9</x:v>
      </x:c>
      <x:c r="E10" s="15" t="str">
        <x:f>IF(D10=0,IF(C10=0,"Completed","In progress"),IF(B10+C10&gt;0,"In progress","Planned"))</x:f>
        <x:v>In progress</x:v>
      </x:c>
      <x:c r="F10" s="15" t="str">
        <x:v>Build 6</x:v>
      </x:c>
      <x:c r="G10" s="9" t="str">
        <x:v>Basic local sessions exist; time-based themes, OTP and security history are pending.</x:v>
      </x:c>
    </x:row>
    <x:row r="11" ht="50" customHeight="1">
      <x:c r="A11" s="12" t="str">
        <x:v>Subscriptions and payments</x:v>
      </x:c>
      <x:c r="B11" s="14" t="n">
        <x:f>COUNTIFS('Requirements'!$B$6:$B$95,$A11,'Requirements'!$D$6:$D$95,"Completed")</x:f>
        <x:v>2</x:v>
      </x:c>
      <x:c r="C11" s="14" t="n">
        <x:f>COUNTIFS('Requirements'!$B$6:$B$95,$A11,'Requirements'!$D$6:$D$95,"In progress")</x:f>
        <x:v>9</x:v>
      </x:c>
      <x:c r="D11" s="14" t="n">
        <x:f>COUNTIFS('Requirements'!$B$6:$B$95,$A11,'Requirements'!$D$6:$D$95,"Planned")</x:f>
        <x:v>4</x:v>
      </x:c>
      <x:c r="E11" s="15" t="str">
        <x:f>IF(D11=0,IF(C11=0,"Completed","In progress"),IF(B11+C11&gt;0,"In progress","Planned"))</x:f>
        <x:v>In progress</x:v>
      </x:c>
      <x:c r="F11" s="15" t="str">
        <x:v>Build 2</x:v>
      </x:c>
      <x:c r="G11" s="9" t="str">
        <x:v>Plan comparison, signed test checkout and order history work locally; receipts, plan changes and access rules remain.</x:v>
      </x:c>
    </x:row>
    <x:row r="12">
      <x:c r="A12" s="1"/>
      <x:c r="B12" s="1"/>
      <x:c r="C12" s="1"/>
      <x:c r="D12" s="1"/>
      <x:c r="E12" s="1"/>
      <x:c r="F12" s="1"/>
      <x:c r="G12" s="1"/>
    </x:row>
    <x:row r="13">
      <x:c r="A13" s="16" t="str">
        <x:v>Status key</x:v>
      </x:c>
      <x:c r="B13" s="1"/>
      <x:c r="C13" s="1"/>
      <x:c r="D13" s="1"/>
      <x:c r="E13" s="1"/>
      <x:c r="F13" s="1"/>
      <x:c r="G13" s="1"/>
    </x:row>
    <x:row r="14" ht="22" customHeight="1">
      <x:c r="A14" s="1" t="str">
        <x:v>Completed</x:v>
      </x:c>
      <x:c r="B14" s="1" t="str">
        <x:v>Built and verified locally</x:v>
      </x:c>
      <x:c r="C14" s="1"/>
      <x:c r="D14" s="1"/>
      <x:c r="E14" s="1"/>
      <x:c r="F14" s="1"/>
      <x:c r="G14" s="1"/>
    </x:row>
    <x:row r="15" ht="22" customHeight="1">
      <x:c r="A15" s="1" t="str">
        <x:v>In progress</x:v>
      </x:c>
      <x:c r="B15" s="1" t="str">
        <x:v>Some groundwork exists; full requirement pending</x:v>
      </x:c>
      <x:c r="C15" s="1"/>
      <x:c r="D15" s="1"/>
      <x:c r="E15" s="1"/>
      <x:c r="F15" s="1"/>
      <x:c r="G15" s="1"/>
    </x:row>
    <x:row r="16" ht="22" customHeight="1">
      <x:c r="A16" s="1" t="str">
        <x:v>Planned</x:v>
      </x:c>
      <x:c r="B16" s="1" t="str">
        <x:v>Not built or verified yet</x:v>
      </x:c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 ht="28" customHeight="1">
      <x:c r="A18" s="17" t="str">
        <x:v>Sources</x:v>
      </x:c>
      <x:c r="B18" s="18" t="str">
        <x:v>Six-task brief supplied by the user; VidCircle local code, tests and browser check on 24 September 2026.</x:v>
      </x:c>
      <x:c r="C18" s="18"/>
      <x:c r="D18" s="18"/>
      <x:c r="E18" s="18"/>
      <x:c r="F18" s="18"/>
      <x:c r="G18" s="18"/>
    </x:row>
    <x:row r="19" ht="28" customHeight="1">
      <x:c r="A19" s="17" t="str">
        <x:v>Scope</x:v>
      </x:c>
      <x:c r="B19" s="18" t="str">
        <x:v>Requirements are condensed into trackable items. Local simulations are labelled in the detailed notes.</x:v>
      </x:c>
      <x:c r="C19" s="18"/>
      <x:c r="D19" s="18"/>
      <x:c r="E19" s="18"/>
      <x:c r="F19" s="18"/>
      <x:c r="G19" s="18"/>
    </x:row>
  </x:sheetData>
  <x:mergeCells>
    <x:mergeCell ref="B18:G18"/>
    <x:mergeCell ref="B19:G19"/>
  </x:mergeCells>
  <x:conditionalFormatting sqref="E5:E11">
    <x:cfRule type="containsText" dxfId="3" priority="1" operator="containsText" text="Completed"/>
    <x:cfRule type="containsText" dxfId="4" priority="2" operator="containsText" text="In progress"/>
    <x:cfRule type="containsText" dxfId="5" priority="3" operator="containsText" text="Plann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6A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66" hidden="0" customWidth="1"/>
    <x:col min="4" max="4" width="16" hidden="0" customWidth="1"/>
    <x:col min="5" max="5" width="15" hidden="0" customWidth="1"/>
    <x:col min="6" max="6" width="61" hidden="0" customWidth="1"/>
  </x:cols>
  <x:sheetData>
    <x:row r="1" ht="34" customHeight="1">
      <x:c r="A1" s="2" t="str">
        <x:v>Requirements tracker</x:v>
      </x:c>
      <x:c r="B1" s="1"/>
      <x:c r="C1" s="1"/>
      <x:c r="D1" s="1"/>
      <x:c r="E1" s="1"/>
      <x:c r="F1" s="1"/>
    </x:row>
    <x:row r="2" ht="22" customHeight="1">
      <x:c r="A2" s="3" t="str">
        <x:v>VidCircle local prototype | 24 September 2026</x:v>
      </x:c>
      <x:c r="B2" s="1"/>
      <x:c r="C2" s="1"/>
      <x:c r="D2" s="1"/>
      <x:c r="E2" s="1"/>
      <x:c r="F2" s="1"/>
    </x:row>
    <x:row r="3" ht="23" customHeight="1">
      <x:c r="A3" s="4" t="str">
        <x:v>Completed means verified locally. In progress means partial groundwork only; the full brief item is not done.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7" t="str">
        <x:v>ID</x:v>
      </x:c>
      <x:c r="B5" s="7" t="str">
        <x:v>Module</x:v>
      </x:c>
      <x:c r="C5" s="7" t="str">
        <x:v>Requirement</x:v>
      </x:c>
      <x:c r="D5" s="7" t="str">
        <x:v>Status</x:v>
      </x:c>
      <x:c r="E5" s="7" t="str">
        <x:v>Target build</x:v>
      </x:c>
      <x:c r="F5" s="7" t="str">
        <x:v>Current state or delivery note</x:v>
      </x:c>
    </x:row>
    <x:row r="6" ht="44" customHeight="1">
      <x:c r="A6" s="10" t="str">
        <x:v>F-01</x:v>
      </x:c>
      <x:c r="B6" s="8" t="str">
        <x:v>Prototype foundation</x:v>
      </x:c>
      <x:c r="C6" s="9" t="str">
        <x:v>Local email/password registration, sign-in, sign-out and persistent sessions</x:v>
      </x:c>
      <x:c r="D6" s="8" t="str">
        <x:v>Completed</x:v>
      </x:c>
      <x:c r="E6" s="11" t="str">
        <x:v>Build 1</x:v>
      </x:c>
      <x:c r="F6" s="9" t="str">
        <x:v>Built and tested with two independent accounts.</x:v>
      </x:c>
    </x:row>
    <x:row r="7" ht="44" customHeight="1">
      <x:c r="A7" s="10" t="str">
        <x:v>F-02</x:v>
      </x:c>
      <x:c r="B7" s="8" t="str">
        <x:v>Prototype foundation</x:v>
      </x:c>
      <x:c r="C7" s="9" t="str">
        <x:v>Create and edit only your own channel profile</x:v>
      </x:c>
      <x:c r="D7" s="8" t="str">
        <x:v>Completed</x:v>
      </x:c>
      <x:c r="E7" s="11" t="str">
        <x:v>Build 1</x:v>
      </x:c>
      <x:c r="F7" s="9" t="str">
        <x:v>Ownership checks pass in the API test.</x:v>
      </x:c>
    </x:row>
    <x:row r="8" ht="44" customHeight="1">
      <x:c r="A8" s="10" t="str">
        <x:v>F-03</x:v>
      </x:c>
      <x:c r="B8" s="8" t="str">
        <x:v>Prototype foundation</x:v>
      </x:c>
      <x:c r="C8" s="9" t="str">
        <x:v>Post-sign-in dashboard with a live video library, search and an empty state</x:v>
      </x:c>
      <x:c r="D8" s="8" t="str">
        <x:v>Completed</x:v>
      </x:c>
      <x:c r="E8" s="11" t="str">
        <x:v>Build 1</x:v>
      </x:c>
      <x:c r="F8" s="9" t="str">
        <x:v>Shows stored local video records.</x:v>
      </x:c>
    </x:row>
    <x:row r="9" ht="44" customHeight="1">
      <x:c r="A9" s="10" t="str">
        <x:v>F-04</x:v>
      </x:c>
      <x:c r="B9" s="8" t="str">
        <x:v>Prototype foundation</x:v>
      </x:c>
      <x:c r="C9" s="9" t="str">
        <x:v>Channel-owned MP4 upload with a title, file validation and a 100 MB limit</x:v>
      </x:c>
      <x:c r="D9" s="8" t="str">
        <x:v>Completed</x:v>
      </x:c>
      <x:c r="E9" s="11" t="str">
        <x:v>Build 1</x:v>
      </x:c>
      <x:c r="F9" s="9" t="str">
        <x:v>File and metadata are stored locally.</x:v>
      </x:c>
    </x:row>
    <x:row r="10" ht="44" customHeight="1">
      <x:c r="A10" s="10" t="str">
        <x:v>F-05</x:v>
      </x:c>
      <x:c r="B10" s="8" t="str">
        <x:v>Prototype foundation</x:v>
      </x:c>
      <x:c r="C10" s="9" t="str">
        <x:v>Real video cards and basic HTML5 playback of uploaded MP4s</x:v>
      </x:c>
      <x:c r="D10" s="8" t="str">
        <x:v>Completed</x:v>
      </x:c>
      <x:c r="E10" s="11" t="str">
        <x:v>Build 1</x:v>
      </x:c>
      <x:c r="F10" s="9" t="str">
        <x:v>Browser playback and refresh were checked. Uses native controls.</x:v>
      </x:c>
    </x:row>
    <x:row r="11" ht="44" customHeight="1">
      <x:c r="A11" s="10" t="str">
        <x:v>C-01</x:v>
      </x:c>
      <x:c r="B11" s="8" t="str">
        <x:v>Multilingual comments</x:v>
      </x:c>
      <x:c r="C11" s="9" t="str">
        <x:v>Post Unicode comments in different languages</x:v>
      </x:c>
      <x:c r="D11" s="8" t="str">
        <x:v>Planned</x:v>
      </x:c>
      <x:c r="E11" s="11" t="str">
        <x:v>Build 4</x:v>
      </x:c>
      <x:c r="F11" s="9" t="str"/>
    </x:row>
    <x:row r="12" ht="44" customHeight="1">
      <x:c r="A12" s="10" t="str">
        <x:v>C-02</x:v>
      </x:c>
      <x:c r="B12" s="8" t="str">
        <x:v>Multilingual comments</x:v>
      </x:c>
      <x:c r="C12" s="9" t="str">
        <x:v>Translate a comment on demand into the viewer's preferred language</x:v>
      </x:c>
      <x:c r="D12" s="8" t="str">
        <x:v>Planned</x:v>
      </x:c>
      <x:c r="E12" s="11" t="str">
        <x:v>Build 4</x:v>
      </x:c>
      <x:c r="F12" s="9" t="str">
        <x:v>Use a local translation service first.</x:v>
      </x:c>
    </x:row>
    <x:row r="13" ht="44" customHeight="1">
      <x:c r="A13" s="10" t="str">
        <x:v>C-03</x:v>
      </x:c>
      <x:c r="B13" s="8" t="str">
        <x:v>Multilingual comments</x:v>
      </x:c>
      <x:c r="C13" s="9" t="str">
        <x:v>Show username, profile picture, location, posted date/time and edited status</x:v>
      </x:c>
      <x:c r="D13" s="8" t="str">
        <x:v>Planned</x:v>
      </x:c>
      <x:c r="E13" s="11" t="str">
        <x:v>Build 4</x:v>
      </x:c>
      <x:c r="F13" s="9" t="str"/>
    </x:row>
    <x:row r="14" ht="44" customHeight="1">
      <x:c r="A14" s="10" t="str">
        <x:v>C-04</x:v>
      </x:c>
      <x:c r="B14" s="8" t="str">
        <x:v>Multilingual comments</x:v>
      </x:c>
      <x:c r="C14" s="9" t="str">
        <x:v>Like and dislike comments</x:v>
      </x:c>
      <x:c r="D14" s="8" t="str">
        <x:v>Planned</x:v>
      </x:c>
      <x:c r="E14" s="11" t="str">
        <x:v>Build 4</x:v>
      </x:c>
      <x:c r="F14" s="9" t="str"/>
    </x:row>
    <x:row r="15" ht="44" customHeight="1">
      <x:c r="A15" s="10" t="str">
        <x:v>C-05</x:v>
      </x:c>
      <x:c r="B15" s="8" t="str">
        <x:v>Multilingual comments</x:v>
      </x:c>
      <x:c r="C15" s="9" t="str">
        <x:v>Reply to comments and mention users with @username</x:v>
      </x:c>
      <x:c r="D15" s="8" t="str">
        <x:v>Planned</x:v>
      </x:c>
      <x:c r="E15" s="11" t="str">
        <x:v>Build 4</x:v>
      </x:c>
      <x:c r="F15" s="9" t="str"/>
    </x:row>
    <x:row r="16" ht="44" customHeight="1">
      <x:c r="A16" s="10" t="str">
        <x:v>C-06</x:v>
      </x:c>
      <x:c r="B16" s="8" t="str">
        <x:v>Multilingual comments</x:v>
      </x:c>
      <x:c r="C16" s="9" t="str">
        <x:v>Let owners edit or delete comments only within a defined time window</x:v>
      </x:c>
      <x:c r="D16" s="8" t="str">
        <x:v>Planned</x:v>
      </x:c>
      <x:c r="E16" s="11" t="str">
        <x:v>Build 4</x:v>
      </x:c>
      <x:c r="F16" s="9" t="str"/>
    </x:row>
    <x:row r="17" ht="44" customHeight="1">
      <x:c r="A17" s="10" t="str">
        <x:v>C-07</x:v>
      </x:c>
      <x:c r="B17" s="8" t="str">
        <x:v>Multilingual comments</x:v>
      </x:c>
      <x:c r="C17" s="9" t="str">
        <x:v>Sort by newest, oldest, most liked and most relevant</x:v>
      </x:c>
      <x:c r="D17" s="8" t="str">
        <x:v>Planned</x:v>
      </x:c>
      <x:c r="E17" s="11" t="str">
        <x:v>Build 4</x:v>
      </x:c>
      <x:c r="F17" s="9" t="str"/>
    </x:row>
    <x:row r="18" ht="44" customHeight="1">
      <x:c r="A18" s="10" t="str">
        <x:v>C-08</x:v>
      </x:c>
      <x:c r="B18" s="8" t="str">
        <x:v>Multilingual comments</x:v>
      </x:c>
      <x:c r="C18" s="9" t="str">
        <x:v>Block abusive words with a profanity filter</x:v>
      </x:c>
      <x:c r="D18" s="8" t="str">
        <x:v>Planned</x:v>
      </x:c>
      <x:c r="E18" s="11" t="str">
        <x:v>Build 4</x:v>
      </x:c>
      <x:c r="F18" s="9" t="str"/>
    </x:row>
    <x:row r="19" ht="44" customHeight="1">
      <x:c r="A19" s="10" t="str">
        <x:v>C-09</x:v>
      </x:c>
      <x:c r="B19" s="8" t="str">
        <x:v>Multilingual comments</x:v>
      </x:c>
      <x:c r="C19" s="9" t="str">
        <x:v>Detect spam and duplicate comments</x:v>
      </x:c>
      <x:c r="D19" s="8" t="str">
        <x:v>Planned</x:v>
      </x:c>
      <x:c r="E19" s="11" t="str">
        <x:v>Build 4</x:v>
      </x:c>
      <x:c r="F19" s="9" t="str"/>
    </x:row>
    <x:row r="20" ht="44" customHeight="1">
      <x:c r="A20" s="10" t="str">
        <x:v>C-10</x:v>
      </x:c>
      <x:c r="B20" s="8" t="str">
        <x:v>Multilingual comments</x:v>
      </x:c>
      <x:c r="C20" s="9" t="str">
        <x:v>Block repeated special-character or emoji comments and malicious links</x:v>
      </x:c>
      <x:c r="D20" s="8" t="str">
        <x:v>Planned</x:v>
      </x:c>
      <x:c r="E20" s="11" t="str">
        <x:v>Build 4</x:v>
      </x:c>
      <x:c r="F20" s="9" t="str"/>
    </x:row>
    <x:row r="21" ht="44" customHeight="1">
      <x:c r="A21" s="10" t="str">
        <x:v>C-11</x:v>
      </x:c>
      <x:c r="B21" s="8" t="str">
        <x:v>Multilingual comments</x:v>
      </x:c>
      <x:c r="C21" s="9" t="str">
        <x:v>Limit comment flooding and require a local challenge after repeated attempts</x:v>
      </x:c>
      <x:c r="D21" s="8" t="str">
        <x:v>Planned</x:v>
      </x:c>
      <x:c r="E21" s="11" t="str">
        <x:v>Build 4</x:v>
      </x:c>
      <x:c r="F21" s="9" t="str">
        <x:v>Local challenge stands in for external CAPTCHA.</x:v>
      </x:c>
    </x:row>
    <x:row r="22" ht="44" customHeight="1">
      <x:c r="A22" s="10" t="str">
        <x:v>C-12</x:v>
      </x:c>
      <x:c r="B22" s="8" t="str">
        <x:v>Multilingual comments</x:v>
      </x:c>
      <x:c r="C22" s="9" t="str">
        <x:v>Report comments for spam, harassment or offensive content; prevent duplicate reports</x:v>
      </x:c>
      <x:c r="D22" s="8" t="str">
        <x:v>Planned</x:v>
      </x:c>
      <x:c r="E22" s="11" t="str">
        <x:v>Build 4</x:v>
      </x:c>
      <x:c r="F22" s="9" t="str"/>
    </x:row>
    <x:row r="23" ht="44" customHeight="1">
      <x:c r="A23" s="10" t="str">
        <x:v>C-13</x:v>
      </x:c>
      <x:c r="B23" s="8" t="str">
        <x:v>Multilingual comments</x:v>
      </x:c>
      <x:c r="C23" s="9" t="str">
        <x:v>Flag reports for administrator review rather than deleting based on dislikes</x:v>
      </x:c>
      <x:c r="D23" s="8" t="str">
        <x:v>Planned</x:v>
      </x:c>
      <x:c r="E23" s="11" t="str">
        <x:v>Build 4</x:v>
      </x:c>
      <x:c r="F23" s="9" t="str"/>
    </x:row>
    <x:row r="24" ht="44" customHeight="1">
      <x:c r="A24" s="10" t="str">
        <x:v>C-14</x:v>
      </x:c>
      <x:c r="B24" s="8" t="str">
        <x:v>Multilingual comments</x:v>
      </x:c>
      <x:c r="C24" s="9" t="str">
        <x:v>Keep comment revisions, report logs and moderation records</x:v>
      </x:c>
      <x:c r="D24" s="8" t="str">
        <x:v>Planned</x:v>
      </x:c>
      <x:c r="E24" s="11" t="str">
        <x:v>Build 4</x:v>
      </x:c>
      <x:c r="F24" s="9" t="str"/>
    </x:row>
    <x:row r="25" ht="44" customHeight="1">
      <x:c r="A25" s="10" t="str">
        <x:v>C-15</x:v>
      </x:c>
      <x:c r="B25" s="8" t="str">
        <x:v>Multilingual comments</x:v>
      </x:c>
      <x:c r="C25" s="9" t="str">
        <x:v>Keep replies visible beneath a deleted-parent placeholder</x:v>
      </x:c>
      <x:c r="D25" s="8" t="str">
        <x:v>Planned</x:v>
      </x:c>
      <x:c r="E25" s="11" t="str">
        <x:v>Build 4</x:v>
      </x:c>
      <x:c r="F25" s="9" t="str"/>
    </x:row>
    <x:row r="26" ht="44" customHeight="1">
      <x:c r="A26" s="10" t="str">
        <x:v>C-16</x:v>
      </x:c>
      <x:c r="B26" s="8" t="str">
        <x:v>Multilingual comments</x:v>
      </x:c>
      <x:c r="C26" s="9" t="str">
        <x:v>Leave the original comment visible if translation fails</x:v>
      </x:c>
      <x:c r="D26" s="8" t="str">
        <x:v>Planned</x:v>
      </x:c>
      <x:c r="E26" s="11" t="str">
        <x:v>Build 4</x:v>
      </x:c>
      <x:c r="F26" s="9" t="str"/>
    </x:row>
    <x:row r="27" ht="44" customHeight="1">
      <x:c r="A27" s="10" t="str">
        <x:v>C-17</x:v>
      </x:c>
      <x:c r="B27" s="8" t="str">
        <x:v>Multilingual comments</x:v>
      </x:c>
      <x:c r="C27" s="9" t="str">
        <x:v>Reject conflicting simultaneous edits using a revision check</x:v>
      </x:c>
      <x:c r="D27" s="8" t="str">
        <x:v>Planned</x:v>
      </x:c>
      <x:c r="E27" s="11" t="str">
        <x:v>Build 4</x:v>
      </x:c>
      <x:c r="F27" s="9" t="str"/>
    </x:row>
    <x:row r="28" ht="44" customHeight="1">
      <x:c r="A28" s="10" t="str">
        <x:v>C-18</x:v>
      </x:c>
      <x:c r="B28" s="8" t="str">
        <x:v>Multilingual comments</x:v>
      </x:c>
      <x:c r="C28" s="9" t="str">
        <x:v>Handle multilingual content safely across posting, sorting and moderation</x:v>
      </x:c>
      <x:c r="D28" s="8" t="str">
        <x:v>Planned</x:v>
      </x:c>
      <x:c r="E28" s="11" t="str">
        <x:v>Build 4</x:v>
      </x:c>
      <x:c r="F28" s="9" t="str"/>
    </x:row>
    <x:row r="29" ht="44" customHeight="1">
      <x:c r="A29" s="10" t="str">
        <x:v>D-01</x:v>
      </x:c>
      <x:c r="B29" s="8" t="str">
        <x:v>Controlled downloads</x:v>
      </x:c>
      <x:c r="C29" s="9" t="str">
        <x:v>Limit Free users to one video download per day</x:v>
      </x:c>
      <x:c r="D29" s="8" t="str">
        <x:v>Planned</x:v>
      </x:c>
      <x:c r="E29" s="11" t="str">
        <x:v>Build 5</x:v>
      </x:c>
      <x:c r="F29" s="9" t="str"/>
    </x:row>
    <x:row r="30" ht="44" customHeight="1">
      <x:c r="A30" s="10" t="str">
        <x:v>D-02</x:v>
      </x:c>
      <x:c r="B30" s="8" t="str">
        <x:v>Controlled downloads</x:v>
      </x:c>
      <x:c r="C30" s="9" t="str">
        <x:v>Give Bronze, Silver and Gold higher plan-specific download quotas</x:v>
      </x:c>
      <x:c r="D30" s="8" t="str">
        <x:v>Planned</x:v>
      </x:c>
      <x:c r="E30" s="11" t="str">
        <x:v>Build 5</x:v>
      </x:c>
      <x:c r="F30" s="9" t="str"/>
    </x:row>
    <x:row r="31" ht="44" customHeight="1">
      <x:c r="A31" s="10" t="str">
        <x:v>D-03</x:v>
      </x:c>
      <x:c r="B31" s="8" t="str">
        <x:v>Controlled downloads</x:v>
      </x:c>
      <x:c r="C31" s="9" t="str">
        <x:v>Check active plan, daily/monthly quota and video access before each download</x:v>
      </x:c>
      <x:c r="D31" s="8" t="str">
        <x:v>Planned</x:v>
      </x:c>
      <x:c r="E31" s="11" t="str">
        <x:v>Build 5</x:v>
      </x:c>
      <x:c r="F31" s="9" t="str"/>
    </x:row>
    <x:row r="32" ht="44" customHeight="1">
      <x:c r="A32" s="10" t="str">
        <x:v>D-04</x:v>
      </x:c>
      <x:c r="B32" s="8" t="str">
        <x:v>Controlled downloads</x:v>
      </x:c>
      <x:c r="C32" s="9" t="str">
        <x:v>Show title, thumbnail, date/time, status, size, plan and quota on a Downloads page</x:v>
      </x:c>
      <x:c r="D32" s="8" t="str">
        <x:v>Planned</x:v>
      </x:c>
      <x:c r="E32" s="11" t="str">
        <x:v>Build 5</x:v>
      </x:c>
      <x:c r="F32" s="9" t="str"/>
    </x:row>
    <x:row r="33" ht="44" customHeight="1">
      <x:c r="A33" s="10" t="str">
        <x:v>D-05</x:v>
      </x:c>
      <x:c r="B33" s="8" t="str">
        <x:v>Controlled downloads</x:v>
      </x:c>
      <x:c r="C33" s="9" t="str">
        <x:v>Store user/video IDs, timestamp, IP, device, browser, plan and download history</x:v>
      </x:c>
      <x:c r="D33" s="8" t="str">
        <x:v>Planned</x:v>
      </x:c>
      <x:c r="E33" s="11" t="str">
        <x:v>Build 5</x:v>
      </x:c>
      <x:c r="F33" s="9" t="str"/>
    </x:row>
    <x:row r="34" ht="44" customHeight="1">
      <x:c r="A34" s="10" t="str">
        <x:v>D-06</x:v>
      </x:c>
      <x:c r="B34" s="8" t="str">
        <x:v>Controlled downloads</x:v>
      </x:c>
      <x:c r="C34" s="9" t="str">
        <x:v>Avoid double-counting duplicate requests within a defined window or on refresh</x:v>
      </x:c>
      <x:c r="D34" s="8" t="str">
        <x:v>Planned</x:v>
      </x:c>
      <x:c r="E34" s="11" t="str">
        <x:v>Build 5</x:v>
      </x:c>
      <x:c r="F34" s="9" t="str"/>
    </x:row>
    <x:row r="35" ht="44" customHeight="1">
      <x:c r="A35" s="10" t="str">
        <x:v>D-07</x:v>
      </x:c>
      <x:c r="B35" s="8" t="str">
        <x:v>Controlled downloads</x:v>
      </x:c>
      <x:c r="C35" s="9" t="str">
        <x:v>Reject downloads after plan expiry and prevent unlimited Free downloads</x:v>
      </x:c>
      <x:c r="D35" s="8" t="str">
        <x:v>Planned</x:v>
      </x:c>
      <x:c r="E35" s="11" t="str">
        <x:v>Build 5</x:v>
      </x:c>
      <x:c r="F35" s="9" t="str"/>
    </x:row>
    <x:row r="36" ht="44" customHeight="1">
      <x:c r="A36" s="10" t="str">
        <x:v>D-08</x:v>
      </x:c>
      <x:c r="B36" s="8" t="str">
        <x:v>Controlled downloads</x:v>
      </x:c>
      <x:c r="C36" s="9" t="str">
        <x:v>Optionally restrict downloads to registered or trusted devices</x:v>
      </x:c>
      <x:c r="D36" s="8" t="str">
        <x:v>Planned</x:v>
      </x:c>
      <x:c r="E36" s="11" t="str">
        <x:v>Build 5</x:v>
      </x:c>
      <x:c r="F36" s="9" t="str">
        <x:v>Depends on trusted-device work in Build 6.</x:v>
      </x:c>
    </x:row>
    <x:row r="37" ht="44" customHeight="1">
      <x:c r="A37" s="10" t="str">
        <x:v>D-09</x:v>
      </x:c>
      <x:c r="B37" s="8" t="str">
        <x:v>Controlled downloads</x:v>
      </x:c>
      <x:c r="C37" s="9" t="str">
        <x:v>Do not consume quota for failed or interrupted downloads</x:v>
      </x:c>
      <x:c r="D37" s="8" t="str">
        <x:v>Planned</x:v>
      </x:c>
      <x:c r="E37" s="11" t="str">
        <x:v>Build 5</x:v>
      </x:c>
      <x:c r="F37" s="9" t="str"/>
    </x:row>
    <x:row r="38" ht="44" customHeight="1">
      <x:c r="A38" s="10" t="str">
        <x:v>D-10</x:v>
      </x:c>
      <x:c r="B38" s="8" t="str">
        <x:v>Controlled downloads</x:v>
      </x:c>
      <x:c r="C38" s="9" t="str">
        <x:v>Enforce quota atomically for simultaneous downloads across devices</x:v>
      </x:c>
      <x:c r="D38" s="8" t="str">
        <x:v>Planned</x:v>
      </x:c>
      <x:c r="E38" s="11" t="str">
        <x:v>Build 5</x:v>
      </x:c>
      <x:c r="F38" s="9" t="str"/>
    </x:row>
    <x:row r="39" ht="44" customHeight="1">
      <x:c r="A39" s="10" t="str">
        <x:v>D-11</x:v>
      </x:c>
      <x:c r="B39" s="8" t="str">
        <x:v>Controlled downloads</x:v>
      </x:c>
      <x:c r="C39" s="9" t="str">
        <x:v>Reset daily quotas at the new IST day and monthly quotas at their boundary</x:v>
      </x:c>
      <x:c r="D39" s="8" t="str">
        <x:v>Planned</x:v>
      </x:c>
      <x:c r="E39" s="11" t="str">
        <x:v>Build 5</x:v>
      </x:c>
      <x:c r="F39" s="9" t="str"/>
    </x:row>
    <x:row r="40" ht="44" customHeight="1">
      <x:c r="A40" s="10" t="str">
        <x:v>D-12</x:v>
      </x:c>
      <x:c r="B40" s="8" t="str">
        <x:v>Controlled downloads</x:v>
      </x:c>
      <x:c r="C40" s="9" t="str">
        <x:v>Serve downloads through an authorised endpoint on every request</x:v>
      </x:c>
      <x:c r="D40" s="8" t="str">
        <x:v>Planned</x:v>
      </x:c>
      <x:c r="E40" s="11" t="str">
        <x:v>Build 5</x:v>
      </x:c>
      <x:c r="F40" s="9" t="str">
        <x:v>Current uploaded media URL is public; protection starts in Build 2.</x:v>
      </x:c>
    </x:row>
    <x:row r="41" ht="44" customHeight="1">
      <x:c r="A41" s="10" t="str">
        <x:v>V-01</x:v>
      </x:c>
      <x:c r="B41" s="8" t="str">
        <x:v>Video calls</x:v>
      </x:c>
      <x:c r="C41" s="9" t="str">
        <x:v>Provide real-time audio/video for one-to-one and small group calls</x:v>
      </x:c>
      <x:c r="D41" s="8" t="str">
        <x:v>Planned</x:v>
      </x:c>
      <x:c r="E41" s="11" t="str">
        <x:v>Build 7</x:v>
      </x:c>
      <x:c r="F41" s="9" t="str">
        <x:v>Local small-room prototype, not internet-scale quality.</x:v>
      </x:c>
    </x:row>
    <x:row r="42" ht="44" customHeight="1">
      <x:c r="A42" s="10" t="str">
        <x:v>V-02</x:v>
      </x:c>
      <x:c r="B42" s="8" t="str">
        <x:v>Video calls</x:v>
      </x:c>
      <x:c r="C42" s="9" t="str">
        <x:v>Create or join a call using a unique meeting link or room ID</x:v>
      </x:c>
      <x:c r="D42" s="8" t="str">
        <x:v>Planned</x:v>
      </x:c>
      <x:c r="E42" s="11" t="str">
        <x:v>Build 7</x:v>
      </x:c>
      <x:c r="F42" s="9" t="str"/>
    </x:row>
    <x:row r="43" ht="44" customHeight="1">
      <x:c r="A43" s="10" t="str">
        <x:v>V-03</x:v>
      </x:c>
      <x:c r="B43" s="8" t="str">
        <x:v>Video calls</x:v>
      </x:c>
      <x:c r="C43" s="9" t="str">
        <x:v>Mute/unmute microphone and enable/disable camera</x:v>
      </x:c>
      <x:c r="D43" s="8" t="str">
        <x:v>Planned</x:v>
      </x:c>
      <x:c r="E43" s="11" t="str">
        <x:v>Build 7</x:v>
      </x:c>
      <x:c r="F43" s="9" t="str"/>
    </x:row>
    <x:row r="44" ht="44" customHeight="1">
      <x:c r="A44" s="10" t="str">
        <x:v>V-04</x:v>
      </x:c>
      <x:c r="B44" s="8" t="str">
        <x:v>Video calls</x:v>
      </x:c>
      <x:c r="C44" s="9" t="str">
        <x:v>Switch front/rear cameras on mobile and switch devices during a call</x:v>
      </x:c>
      <x:c r="D44" s="8" t="str">
        <x:v>Planned</x:v>
      </x:c>
      <x:c r="E44" s="11" t="str">
        <x:v>Build 7</x:v>
      </x:c>
      <x:c r="F44" s="9" t="str">
        <x:v>Where supported by the browser/device.</x:v>
      </x:c>
    </x:row>
    <x:row r="45" ht="44" customHeight="1">
      <x:c r="A45" s="10" t="str">
        <x:v>V-05</x:v>
      </x:c>
      <x:c r="B45" s="8" t="str">
        <x:v>Video calls</x:v>
      </x:c>
      <x:c r="C45" s="9" t="str">
        <x:v>Share the screen</x:v>
      </x:c>
      <x:c r="D45" s="8" t="str">
        <x:v>Planned</x:v>
      </x:c>
      <x:c r="E45" s="11" t="str">
        <x:v>Build 7</x:v>
      </x:c>
      <x:c r="F45" s="9" t="str">
        <x:v>Where supported by the browser.</x:v>
      </x:c>
    </x:row>
    <x:row r="46" ht="44" customHeight="1">
      <x:c r="A46" s="10" t="str">
        <x:v>V-06</x:v>
      </x:c>
      <x:c r="B46" s="8" t="str">
        <x:v>Video calls</x:v>
      </x:c>
      <x:c r="C46" s="9" t="str">
        <x:v>Leave/end calls, see participants and raise a hand</x:v>
      </x:c>
      <x:c r="D46" s="8" t="str">
        <x:v>Planned</x:v>
      </x:c>
      <x:c r="E46" s="11" t="str">
        <x:v>Build 7</x:v>
      </x:c>
      <x:c r="F46" s="9" t="str"/>
    </x:row>
    <x:row r="47" ht="44" customHeight="1">
      <x:c r="A47" s="10" t="str">
        <x:v>V-07</x:v>
      </x:c>
      <x:c r="B47" s="8" t="str">
        <x:v>Video calls</x:v>
      </x:c>
      <x:c r="C47" s="9" t="str">
        <x:v>Use in-call chat for messages, emojis and small files</x:v>
      </x:c>
      <x:c r="D47" s="8" t="str">
        <x:v>Planned</x:v>
      </x:c>
      <x:c r="E47" s="11" t="str">
        <x:v>Build 7</x:v>
      </x:c>
      <x:c r="F47" s="9" t="str"/>
    </x:row>
    <x:row r="48" ht="44" customHeight="1">
      <x:c r="A48" s="10" t="str">
        <x:v>V-08</x:v>
      </x:c>
      <x:c r="B48" s="8" t="str">
        <x:v>Video calls</x:v>
      </x:c>
      <x:c r="C48" s="9" t="str">
        <x:v>Show names, speaking/mic/camera indicators, connection quality and call duration</x:v>
      </x:c>
      <x:c r="D48" s="8" t="str">
        <x:v>Planned</x:v>
      </x:c>
      <x:c r="E48" s="11" t="str">
        <x:v>Build 7</x:v>
      </x:c>
      <x:c r="F48" s="9" t="str"/>
    </x:row>
    <x:row r="49" ht="44" customHeight="1">
      <x:c r="A49" s="10" t="str">
        <x:v>V-09</x:v>
      </x:c>
      <x:c r="B49" s="8" t="str">
        <x:v>Video calls</x:v>
      </x:c>
      <x:c r="C49" s="9" t="str">
        <x:v>Let hosts mute/remove participants and lock rooms</x:v>
      </x:c>
      <x:c r="D49" s="8" t="str">
        <x:v>Planned</x:v>
      </x:c>
      <x:c r="E49" s="11" t="str">
        <x:v>Build 7</x:v>
      </x:c>
      <x:c r="F49" s="9" t="str"/>
    </x:row>
    <x:row r="50" ht="44" customHeight="1">
      <x:c r="A50" s="10" t="str">
        <x:v>V-10</x:v>
      </x:c>
      <x:c r="B50" s="8" t="str">
        <x:v>Video calls</x:v>
      </x:c>
      <x:c r="C50" s="9" t="str">
        <x:v>Assign co-hosts and manage screen-sharing and chat permissions</x:v>
      </x:c>
      <x:c r="D50" s="8" t="str">
        <x:v>Planned</x:v>
      </x:c>
      <x:c r="E50" s="11" t="str">
        <x:v>Build 7</x:v>
      </x:c>
      <x:c r="F50" s="9" t="str"/>
    </x:row>
    <x:row r="51" ht="44" customHeight="1">
      <x:c r="A51" s="10" t="str">
        <x:v>V-11</x:v>
      </x:c>
      <x:c r="B51" s="8" t="str">
        <x:v>Video calls</x:v>
      </x:c>
      <x:c r="C51" s="9" t="str">
        <x:v>Optionally record locally with host-only access after the call</x:v>
      </x:c>
      <x:c r="D51" s="8" t="str">
        <x:v>Planned</x:v>
      </x:c>
      <x:c r="E51" s="11" t="str">
        <x:v>Build 7</x:v>
      </x:c>
      <x:c r="F51" s="9" t="str">
        <x:v>Only where browser recording is supported.</x:v>
      </x:c>
    </x:row>
    <x:row r="52" ht="44" customHeight="1">
      <x:c r="A52" s="10" t="str">
        <x:v>V-12</x:v>
      </x:c>
      <x:c r="B52" s="8" t="str">
        <x:v>Video calls</x:v>
      </x:c>
      <x:c r="C52" s="9" t="str">
        <x:v>Recover from network interruption and browser refresh</x:v>
      </x:c>
      <x:c r="D52" s="8" t="str">
        <x:v>Planned</x:v>
      </x:c>
      <x:c r="E52" s="11" t="str">
        <x:v>Build 7</x:v>
      </x:c>
      <x:c r="F52" s="9" t="str"/>
    </x:row>
    <x:row r="53" ht="44" customHeight="1">
      <x:c r="A53" s="10" t="str">
        <x:v>V-13</x:v>
      </x:c>
      <x:c r="B53" s="8" t="str">
        <x:v>Video calls</x:v>
      </x:c>
      <x:c r="C53" s="9" t="str">
        <x:v>Handle microphone/camera permission denial clearly</x:v>
      </x:c>
      <x:c r="D53" s="8" t="str">
        <x:v>Planned</x:v>
      </x:c>
      <x:c r="E53" s="11" t="str">
        <x:v>Build 7</x:v>
      </x:c>
      <x:c r="F53" s="9" t="str"/>
    </x:row>
    <x:row r="54" ht="44" customHeight="1">
      <x:c r="A54" s="10" t="str">
        <x:v>V-14</x:v>
      </x:c>
      <x:c r="B54" s="8" t="str">
        <x:v>Video calls</x:v>
      </x:c>
      <x:c r="C54" s="9" t="str">
        <x:v>Offer noise suppression, low-bandwidth fallback and a participant limit</x:v>
      </x:c>
      <x:c r="D54" s="8" t="str">
        <x:v>Planned</x:v>
      </x:c>
      <x:c r="E54" s="11" t="str">
        <x:v>Build 7</x:v>
      </x:c>
      <x:c r="F54" s="9" t="str">
        <x:v>Browser-dependent controls must show unsupported states.</x:v>
      </x:c>
    </x:row>
    <x:row r="55" ht="44" customHeight="1">
      <x:c r="A55" s="10" t="str">
        <x:v>V-15</x:v>
      </x:c>
      <x:c r="B55" s="8" t="str">
        <x:v>Video calls</x:v>
      </x:c>
      <x:c r="C55" s="9" t="str">
        <x:v>Authenticate meeting access and use encrypted media, with E2EE where supported</x:v>
      </x:c>
      <x:c r="D55" s="8" t="str">
        <x:v>Planned</x:v>
      </x:c>
      <x:c r="E55" s="11" t="str">
        <x:v>Build 7</x:v>
      </x:c>
      <x:c r="F55" s="9" t="str">
        <x:v>WebRTC transport encryption locally; group E2EE may be unsupported.</x:v>
      </x:c>
    </x:row>
    <x:row r="56" ht="44" customHeight="1">
      <x:c r="A56" s="10" t="str">
        <x:v>P-01</x:v>
      </x:c>
      <x:c r="B56" s="8" t="str">
        <x:v>Custom video player</x:v>
      </x:c>
      <x:c r="C56" s="9" t="str">
        <x:v>Build a fully custom HTML5 player instead of browser-default controls</x:v>
      </x:c>
      <x:c r="D56" s="8" t="str">
        <x:v>In progress</x:v>
      </x:c>
      <x:c r="E56" s="11" t="str">
        <x:v>Build 3</x:v>
      </x:c>
      <x:c r="F56" s="9" t="str">
        <x:v>Basic native MP4 playback works; custom controls remain.</x:v>
      </x:c>
    </x:row>
    <x:row r="57" ht="44" customHeight="1">
      <x:c r="A57" s="10" t="str">
        <x:v>P-02</x:v>
      </x:c>
      <x:c r="B57" s="8" t="str">
        <x:v>Custom video player</x:v>
      </x:c>
      <x:c r="C57" s="9" t="str">
        <x:v>Add custom play/pause, draggable volume and mute/unmute controls</x:v>
      </x:c>
      <x:c r="D57" s="8" t="str">
        <x:v>Planned</x:v>
      </x:c>
      <x:c r="E57" s="11" t="str">
        <x:v>Build 3</x:v>
      </x:c>
      <x:c r="F57" s="9" t="str"/>
    </x:row>
    <x:row r="58" ht="44" customHeight="1">
      <x:c r="A58" s="10" t="str">
        <x:v>P-03</x:v>
      </x:c>
      <x:c r="B58" s="8" t="str">
        <x:v>Custom video player</x:v>
      </x:c>
      <x:c r="C58" s="9" t="str">
        <x:v>Offer 0.5x, 1x, 1.25x, 1.5x and 2x playback speeds</x:v>
      </x:c>
      <x:c r="D58" s="8" t="str">
        <x:v>Planned</x:v>
      </x:c>
      <x:c r="E58" s="11" t="str">
        <x:v>Build 3</x:v>
      </x:c>
      <x:c r="F58" s="9" t="str"/>
    </x:row>
    <x:row r="59" ht="44" customHeight="1">
      <x:c r="A59" s="10" t="str">
        <x:v>P-04</x:v>
      </x:c>
      <x:c r="B59" s="8" t="str">
        <x:v>Custom video player</x:v>
      </x:c>
      <x:c r="C59" s="9" t="str">
        <x:v>Seek backward/forward by 10 seconds and support larger skips</x:v>
      </x:c>
      <x:c r="D59" s="8" t="str">
        <x:v>Planned</x:v>
      </x:c>
      <x:c r="E59" s="11" t="str">
        <x:v>Build 3</x:v>
      </x:c>
      <x:c r="F59" s="9" t="str"/>
    </x:row>
    <x:row r="60" ht="44" customHeight="1">
      <x:c r="A60" s="10" t="str">
        <x:v>P-05</x:v>
      </x:c>
      <x:c r="B60" s="8" t="str">
        <x:v>Custom video player</x:v>
      </x:c>
      <x:c r="C60" s="9" t="str">
        <x:v>Support theatre mode, full-screen mode and Picture-in-Picture</x:v>
      </x:c>
      <x:c r="D60" s="8" t="str">
        <x:v>Planned</x:v>
      </x:c>
      <x:c r="E60" s="11" t="str">
        <x:v>Build 3</x:v>
      </x:c>
      <x:c r="F60" s="9" t="str"/>
    </x:row>
    <x:row r="61" ht="44" customHeight="1">
      <x:c r="A61" s="10" t="str">
        <x:v>P-06</x:v>
      </x:c>
      <x:c r="B61" s="8" t="str">
        <x:v>Custom video player</x:v>
      </x:c>
      <x:c r="C61" s="9" t="str">
        <x:v>Toggle subtitles or captions when available</x:v>
      </x:c>
      <x:c r="D61" s="8" t="str">
        <x:v>Planned</x:v>
      </x:c>
      <x:c r="E61" s="11" t="str">
        <x:v>Build 3</x:v>
      </x:c>
      <x:c r="F61" s="9" t="str"/>
    </x:row>
    <x:row r="62" ht="44" customHeight="1">
      <x:c r="A62" s="10" t="str">
        <x:v>P-07</x:v>
      </x:c>
      <x:c r="B62" s="8" t="str">
        <x:v>Custom video player</x:v>
      </x:c>
      <x:c r="C62" s="9" t="str">
        <x:v>Show current, total and remaining time</x:v>
      </x:c>
      <x:c r="D62" s="8" t="str">
        <x:v>Planned</x:v>
      </x:c>
      <x:c r="E62" s="11" t="str">
        <x:v>Build 3</x:v>
      </x:c>
      <x:c r="F62" s="9" t="str"/>
    </x:row>
    <x:row r="63" ht="44" customHeight="1">
      <x:c r="A63" s="10" t="str">
        <x:v>P-08</x:v>
      </x:c>
      <x:c r="B63" s="8" t="str">
        <x:v>Custom video player</x:v>
      </x:c>
      <x:c r="C63" s="9" t="str">
        <x:v>Show buffering, playback progress and loading indicators</x:v>
      </x:c>
      <x:c r="D63" s="8" t="str">
        <x:v>Planned</x:v>
      </x:c>
      <x:c r="E63" s="11" t="str">
        <x:v>Build 3</x:v>
      </x:c>
      <x:c r="F63" s="9" t="str"/>
    </x:row>
    <x:row r="64" ht="44" customHeight="1">
      <x:c r="A64" s="10" t="str">
        <x:v>P-09</x:v>
      </x:c>
      <x:c r="B64" s="8" t="str">
        <x:v>Custom video player</x:v>
      </x:c>
      <x:c r="C64" s="9" t="str">
        <x:v>Show video quality information and allow quality selection</x:v>
      </x:c>
      <x:c r="D64" s="8" t="str">
        <x:v>Planned</x:v>
      </x:c>
      <x:c r="E64" s="11" t="str">
        <x:v>Build 3</x:v>
      </x:c>
      <x:c r="F64" s="9" t="str">
        <x:v>Prepare local variants; plan checks come in Build 2.</x:v>
      </x:c>
    </x:row>
    <x:row r="65" ht="44" customHeight="1">
      <x:c r="A65" s="10" t="str">
        <x:v>P-10</x:v>
      </x:c>
      <x:c r="B65" s="8" t="str">
        <x:v>Custom video player</x:v>
      </x:c>
      <x:c r="C65" s="9" t="str">
        <x:v>Autoplay the next video after a countdown, with a cancel option</x:v>
      </x:c>
      <x:c r="D65" s="8" t="str">
        <x:v>Planned</x:v>
      </x:c>
      <x:c r="E65" s="11" t="str">
        <x:v>Build 3</x:v>
      </x:c>
      <x:c r="F65" s="9" t="str"/>
    </x:row>
    <x:row r="66" ht="44" customHeight="1">
      <x:c r="A66" s="10" t="str">
        <x:v>P-11</x:v>
      </x:c>
      <x:c r="B66" s="8" t="str">
        <x:v>Custom video player</x:v>
      </x:c>
      <x:c r="C66" s="9" t="str">
        <x:v>Save watch position periodically and resume from the last position</x:v>
      </x:c>
      <x:c r="D66" s="8" t="str">
        <x:v>Planned</x:v>
      </x:c>
      <x:c r="E66" s="11" t="str">
        <x:v>Build 3</x:v>
      </x:c>
      <x:c r="F66" s="9" t="str"/>
    </x:row>
    <x:row r="67" ht="44" customHeight="1">
      <x:c r="A67" s="10" t="str">
        <x:v>P-12</x:v>
      </x:c>
      <x:c r="B67" s="8" t="str">
        <x:v>Custom video player</x:v>
      </x:c>
      <x:c r="C67" s="9" t="str">
        <x:v>Mark completion at a configurable watched percentage</x:v>
      </x:c>
      <x:c r="D67" s="8" t="str">
        <x:v>Planned</x:v>
      </x:c>
      <x:c r="E67" s="11" t="str">
        <x:v>Build 3</x:v>
      </x:c>
      <x:c r="F67" s="9" t="str"/>
    </x:row>
    <x:row r="68" ht="44" customHeight="1">
      <x:c r="A68" s="10" t="str">
        <x:v>P-13</x:v>
      </x:c>
      <x:c r="B68" s="8" t="str">
        <x:v>Custom video player</x:v>
      </x:c>
      <x:c r="C68" s="9" t="str">
        <x:v>Prevent multiple videos from playing simultaneously across open app tabs</x:v>
      </x:c>
      <x:c r="D68" s="8" t="str">
        <x:v>Planned</x:v>
      </x:c>
      <x:c r="E68" s="11" t="str">
        <x:v>Build 3</x:v>
      </x:c>
      <x:c r="F68" s="9" t="str"/>
    </x:row>
    <x:row r="69" ht="44" customHeight="1">
      <x:c r="A69" s="10" t="str">
        <x:v>P-14</x:v>
      </x:c>
      <x:c r="B69" s="8" t="str">
        <x:v>Custom video player</x:v>
      </x:c>
      <x:c r="C69" s="9" t="str">
        <x:v>Implement space, arrow, Shift-arrow, volume and dedicated desktop shortcuts</x:v>
      </x:c>
      <x:c r="D69" s="8" t="str">
        <x:v>Planned</x:v>
      </x:c>
      <x:c r="E69" s="11" t="str">
        <x:v>Build 3</x:v>
      </x:c>
      <x:c r="F69" s="9" t="str">
        <x:v>Includes mute, speed, PiP, theatre, captions, full-screen and next.</x:v>
      </x:c>
    </x:row>
    <x:row r="70" ht="44" customHeight="1">
      <x:c r="A70" s="10" t="str">
        <x:v>P-15</x:v>
      </x:c>
      <x:c r="B70" s="8" t="str">
        <x:v>Custom video player</x:v>
      </x:c>
      <x:c r="C70" s="9" t="str">
        <x:v>Show frame previews on timeline hover and auto-hide/reveal controls on mouse activity</x:v>
      </x:c>
      <x:c r="D70" s="8" t="str">
        <x:v>Planned</x:v>
      </x:c>
      <x:c r="E70" s="11" t="str">
        <x:v>Build 3</x:v>
      </x:c>
      <x:c r="F70" s="9" t="str"/>
    </x:row>
    <x:row r="71" ht="44" customHeight="1">
      <x:c r="A71" s="10" t="str">
        <x:v>S-01</x:v>
      </x:c>
      <x:c r="B71" s="8" t="str">
        <x:v>Login security and themes</x:v>
      </x:c>
      <x:c r="C71" s="9" t="str">
        <x:v>Extend local sign-in into time-aware, OTP-gated secure login</x:v>
      </x:c>
      <x:c r="D71" s="8" t="str">
        <x:v>In progress</x:v>
      </x:c>
      <x:c r="E71" s="11" t="str">
        <x:v>Build 6</x:v>
      </x:c>
      <x:c r="F71" s="9" t="str">
        <x:v>Email/password sessions work; advanced rules are pending.</x:v>
      </x:c>
    </x:row>
    <x:row r="72" ht="44" customHeight="1">
      <x:c r="A72" s="10" t="str">
        <x:v>S-02</x:v>
      </x:c>
      <x:c r="B72" s="8" t="str">
        <x:v>Login security and themes</x:v>
      </x:c>
      <x:c r="C72" s="9" t="str">
        <x:v>Default to light theme for 5:00 AM-12:00 PM IST logins, otherwise dark</x:v>
      </x:c>
      <x:c r="D72" s="8" t="str">
        <x:v>Planned</x:v>
      </x:c>
      <x:c r="E72" s="11" t="str">
        <x:v>Build 6</x:v>
      </x:c>
      <x:c r="F72" s="9" t="str"/>
    </x:row>
    <x:row r="73" ht="44" customHeight="1">
      <x:c r="A73" s="10" t="str">
        <x:v>S-03</x:v>
      </x:c>
      <x:c r="B73" s="8" t="str">
        <x:v>Login security and themes</x:v>
      </x:c>
      <x:c r="C73" s="9" t="str">
        <x:v>Let users override the theme and persist the choice across sessions/devices</x:v>
      </x:c>
      <x:c r="D73" s="8" t="str">
        <x:v>Planned</x:v>
      </x:c>
      <x:c r="E73" s="11" t="str">
        <x:v>Build 6</x:v>
      </x:c>
      <x:c r="F73" s="9" t="str"/>
    </x:row>
    <x:row r="74" ht="44" customHeight="1">
      <x:c r="A74" s="10" t="str">
        <x:v>S-04</x:v>
      </x:c>
      <x:c r="B74" s="8" t="str">
        <x:v>Login security and themes</x:v>
      </x:c>
      <x:c r="C74" s="9" t="str">
        <x:v>Record public IP, browser/version, OS, device type/model and login timestamp</x:v>
      </x:c>
      <x:c r="D74" s="8" t="str">
        <x:v>Planned</x:v>
      </x:c>
      <x:c r="E74" s="11" t="str">
        <x:v>Build 6</x:v>
      </x:c>
      <x:c r="F74" s="9" t="str">
        <x:v>Device model may be unavailable in browsers.</x:v>
      </x:c>
    </x:row>
    <x:row r="75" ht="44" customHeight="1">
      <x:c r="A75" s="10" t="str">
        <x:v>S-05</x:v>
      </x:c>
      <x:c r="B75" s="8" t="str">
        <x:v>Login security and themes</x:v>
      </x:c>
      <x:c r="C75" s="9" t="str">
        <x:v>Record city, state, country and approximate location</x:v>
      </x:c>
      <x:c r="D75" s="8" t="str">
        <x:v>Planned</x:v>
      </x:c>
      <x:c r="E75" s="11" t="str">
        <x:v>Build 6</x:v>
      </x:c>
      <x:c r="F75" s="9" t="str">
        <x:v>Use labelled local test location; localhost cannot supply real location.</x:v>
      </x:c>
    </x:row>
    <x:row r="76" ht="44" customHeight="1">
      <x:c r="A76" s="10" t="str">
        <x:v>S-06</x:v>
      </x:c>
      <x:c r="B76" s="8" t="str">
        <x:v>Login security and themes</x:v>
      </x:c>
      <x:c r="C76" s="9" t="str">
        <x:v>Require OTP before access for a new browser, device, IP, city or state</x:v>
      </x:c>
      <x:c r="D76" s="8" t="str">
        <x:v>Planned</x:v>
      </x:c>
      <x:c r="E76" s="11" t="str">
        <x:v>Build 6</x:v>
      </x:c>
      <x:c r="F76" s="9" t="str"/>
    </x:row>
    <x:row r="77" ht="44" customHeight="1">
      <x:c r="A77" s="10" t="str">
        <x:v>S-07</x:v>
      </x:c>
      <x:c r="B77" s="8" t="str">
        <x:v>Login security and themes</x:v>
      </x:c>
      <x:c r="C77" s="9" t="str">
        <x:v>Deliver OTP to registered email or mobile number</x:v>
      </x:c>
      <x:c r="D77" s="8" t="str">
        <x:v>Planned</x:v>
      </x:c>
      <x:c r="E77" s="11" t="str">
        <x:v>Build 6</x:v>
      </x:c>
      <x:c r="F77" s="9" t="str">
        <x:v>Start with local Mailpit inbox; real delivery is later.</x:v>
      </x:c>
    </x:row>
    <x:row r="78" ht="44" customHeight="1">
      <x:c r="A78" s="10" t="str">
        <x:v>S-08</x:v>
      </x:c>
      <x:c r="B78" s="8" t="str">
        <x:v>Login security and themes</x:v>
      </x:c>
      <x:c r="C78" s="9" t="str">
        <x:v>Trust a verified browser/device for a configurable period</x:v>
      </x:c>
      <x:c r="D78" s="8" t="str">
        <x:v>Planned</x:v>
      </x:c>
      <x:c r="E78" s="11" t="str">
        <x:v>Build 6</x:v>
      </x:c>
      <x:c r="F78" s="9" t="str"/>
    </x:row>
    <x:row r="79" ht="44" customHeight="1">
      <x:c r="A79" s="10" t="str">
        <x:v>S-09</x:v>
      </x:c>
      <x:c r="B79" s="8" t="str">
        <x:v>Login security and themes</x:v>
      </x:c>
      <x:c r="C79" s="9" t="str">
        <x:v>Store login attempts, successful/failed OTP checks, trusted devices and history</x:v>
      </x:c>
      <x:c r="D79" s="8" t="str">
        <x:v>Planned</x:v>
      </x:c>
      <x:c r="E79" s="11" t="str">
        <x:v>Build 6</x:v>
      </x:c>
      <x:c r="F79" s="9" t="str"/>
    </x:row>
    <x:row r="80" ht="44" customHeight="1">
      <x:c r="A80" s="10" t="str">
        <x:v>S-10</x:v>
      </x:c>
      <x:c r="B80" s="8" t="str">
        <x:v>Login security and themes</x:v>
      </x:c>
      <x:c r="C80" s="9" t="str">
        <x:v>Provide an account-security page to review activity and revoke sessions</x:v>
      </x:c>
      <x:c r="D80" s="8" t="str">
        <x:v>Planned</x:v>
      </x:c>
      <x:c r="E80" s="11" t="str">
        <x:v>Build 6</x:v>
      </x:c>
      <x:c r="F80" s="9" t="str"/>
    </x:row>
    <x:row r="81" ht="44" customHeight="1">
      <x:c r="A81" s="10" t="str">
        <x:v>M-01</x:v>
      </x:c>
      <x:c r="B81" s="8" t="str">
        <x:v>Subscriptions and payments</x:v>
      </x:c>
      <x:c r="C81" s="9" t="str">
        <x:v>Define Free, Bronze, Silver and Gold plans with increasing access</x:v>
      </x:c>
      <x:c r="D81" s="8" t="str">
        <x:v>In progress</x:v>
      </x:c>
      <x:c r="E81" s="11" t="str">
        <x:v>Build 2</x:v>
      </x:c>
      <x:c r="F81" s="9" t="str">
        <x:v>One server-owned plan catalogue exists; access rules are not enforced yet.</x:v>
      </x:c>
    </x:row>
    <x:row r="82" ht="44" customHeight="1">
      <x:c r="A82" s="10" t="str">
        <x:v>M-02</x:v>
      </x:c>
      <x:c r="B82" s="8" t="str">
        <x:v>Subscriptions and payments</x:v>
      </x:c>
      <x:c r="C82" s="9" t="str">
        <x:v>Limit Free premium videos, features, quality, watch time and downloads</x:v>
      </x:c>
      <x:c r="D82" s="8" t="str">
        <x:v>In progress</x:v>
      </x:c>
      <x:c r="E82" s="11" t="str">
        <x:v>Build 2</x:v>
      </x:c>
      <x:c r="F82" s="9" t="str">
        <x:v>Free limits are defined in the catalogue, not enforced yet.</x:v>
      </x:c>
    </x:row>
    <x:row r="83" ht="44" customHeight="1">
      <x:c r="A83" s="10" t="str">
        <x:v>M-03</x:v>
      </x:c>
      <x:c r="B83" s="8" t="str">
        <x:v>Subscriptions and payments</x:v>
      </x:c>
      <x:c r="C83" s="9" t="str">
        <x:v>Add paid benefits: access, quality, offline, priority, speed, courses, no ads and usage</x:v>
      </x:c>
      <x:c r="D83" s="8" t="str">
        <x:v>In progress</x:v>
      </x:c>
      <x:c r="E83" s="11" t="str">
        <x:v>Build 2</x:v>
      </x:c>
      <x:c r="F83" s="9" t="str">
        <x:v>Paid benefits are defined for comparison; enforcement is pending.</x:v>
      </x:c>
    </x:row>
    <x:row r="84" ht="44" customHeight="1">
      <x:c r="A84" s="10" t="str">
        <x:v>M-04</x:v>
      </x:c>
      <x:c r="B84" s="8" t="str">
        <x:v>Subscriptions and payments</x:v>
      </x:c>
      <x:c r="C84" s="9" t="str">
        <x:v>Set pricing and monthly, quarterly and yearly validity for each plan</x:v>
      </x:c>
      <x:c r="D84" s="8" t="str">
        <x:v>Completed</x:v>
      </x:c>
      <x:c r="E84" s="11" t="str">
        <x:v>Build 2</x:v>
      </x:c>
      <x:c r="F84" s="9" t="str">
        <x:v>Illustrative INR prices and 30/90/365-day terms are defined in one API catalogue.</x:v>
      </x:c>
    </x:row>
    <x:row r="85" ht="44" customHeight="1">
      <x:c r="A85" s="10" t="str">
        <x:v>M-05</x:v>
      </x:c>
      <x:c r="B85" s="8" t="str">
        <x:v>Subscriptions and payments</x:v>
      </x:c>
      <x:c r="C85" s="9" t="str">
        <x:v>Show a feature comparison, renewal policy and upgrade eligibility</x:v>
      </x:c>
      <x:c r="D85" s="8" t="str">
        <x:v>In progress</x:v>
      </x:c>
      <x:c r="E85" s="11" t="str">
        <x:v>Build 2</x:v>
      </x:c>
      <x:c r="F85" s="9" t="str">
        <x:v>Comparison and renewal policy are shown; upgrade eligibility is pending.</x:v>
      </x:c>
    </x:row>
    <x:row r="86" ht="44" customHeight="1">
      <x:c r="A86" s="10" t="str">
        <x:v>M-06</x:v>
      </x:c>
      <x:c r="B86" s="8" t="str">
        <x:v>Subscriptions and payments</x:v>
      </x:c>
      <x:c r="C86" s="9" t="str">
        <x:v>Show status, remaining validity, next renewal, billing history and benefits</x:v>
      </x:c>
      <x:c r="D86" s="8" t="str">
        <x:v>In progress</x:v>
      </x:c>
      <x:c r="E86" s="11" t="str">
        <x:v>Build 2</x:v>
      </x:c>
      <x:c r="F86" s="9" t="str">
        <x:v>Current plan, expiry and local test-order history are shown; benefits and renewal are pending.</x:v>
      </x:c>
    </x:row>
    <x:row r="87" ht="44" customHeight="1">
      <x:c r="A87" s="10" t="str">
        <x:v>M-07</x:v>
      </x:c>
      <x:c r="B87" s="8" t="str">
        <x:v>Subscriptions and payments</x:v>
      </x:c>
      <x:c r="C87" s="9" t="str">
        <x:v>Let users compare plans before purchase</x:v>
      </x:c>
      <x:c r="D87" s="8" t="str">
        <x:v>Completed</x:v>
      </x:c>
      <x:c r="E87" s="11" t="str">
        <x:v>Build 2</x:v>
      </x:c>
      <x:c r="F87" s="9" t="str">
        <x:v>Signed-in users can compare all four plans and billing terms locally.</x:v>
      </x:c>
    </x:row>
    <x:row r="88" ht="44" customHeight="1">
      <x:c r="A88" s="10" t="str">
        <x:v>M-08</x:v>
      </x:c>
      <x:c r="B88" s="8" t="str">
        <x:v>Subscriptions and payments</x:v>
      </x:c>
      <x:c r="C88" s="9" t="str">
        <x:v>Support upgrade, downgrade, renewal and cancellation</x:v>
      </x:c>
      <x:c r="D88" s="8" t="str">
        <x:v>Planned</x:v>
      </x:c>
      <x:c r="E88" s="11" t="str">
        <x:v>Build 2</x:v>
      </x:c>
      <x:c r="F88" s="9" t="str"/>
    </x:row>
    <x:row r="89" ht="44" customHeight="1">
      <x:c r="A89" s="10" t="str">
        <x:v>M-09</x:v>
      </x:c>
      <x:c r="B89" s="8" t="str">
        <x:v>Subscriptions and payments</x:v>
      </x:c>
      <x:c r="C89" s="9" t="str">
        <x:v>Integrate Razorpay Test payments after the local checkout flow works</x:v>
      </x:c>
      <x:c r="D89" s="8" t="str">
        <x:v>Planned</x:v>
      </x:c>
      <x:c r="E89" s="11" t="str">
        <x:v>Build 2</x:v>
      </x:c>
      <x:c r="F89" s="9" t="str">
        <x:v>Local prototype uses labelled simulated payments first.</x:v>
      </x:c>
    </x:row>
    <x:row r="90" ht="44" customHeight="1">
      <x:c r="A90" s="10" t="str">
        <x:v>M-10</x:v>
      </x:c>
      <x:c r="B90" s="8" t="str">
        <x:v>Subscriptions and payments</x:v>
      </x:c>
      <x:c r="C90" s="9" t="str">
        <x:v>Handle success, failure, cancellation, duplicates and network interruption</x:v>
      </x:c>
      <x:c r="D90" s="8" t="str">
        <x:v>In progress</x:v>
      </x:c>
      <x:c r="E90" s="11" t="str">
        <x:v>Build 2</x:v>
      </x:c>
      <x:c r="F90" s="9" t="str">
        <x:v>Local success, failure, cancellation and duplicate results work; broader interruption handling remains.</x:v>
      </x:c>
    </x:row>
    <x:row r="91" ht="44" customHeight="1">
      <x:c r="A91" s="10" t="str">
        <x:v>M-11</x:v>
      </x:c>
      <x:c r="B91" s="8" t="str">
        <x:v>Subscriptions and payments</x:v>
      </x:c>
      <x:c r="C91" s="9" t="str">
        <x:v>Verify payment before activating or changing a subscription</x:v>
      </x:c>
      <x:c r="D91" s="8" t="str">
        <x:v>In progress</x:v>
      </x:c>
      <x:c r="E91" s="11" t="str">
        <x:v>Build 2</x:v>
      </x:c>
      <x:c r="F91" s="9" t="str">
        <x:v>A signed local result is verified before activation; subscription-change flows remain.</x:v>
      </x:c>
    </x:row>
    <x:row r="92" ht="44" customHeight="1">
      <x:c r="A92" s="10" t="str">
        <x:v>M-12</x:v>
      </x:c>
      <x:c r="B92" s="8" t="str">
        <x:v>Subscriptions and payments</x:v>
      </x:c>
      <x:c r="C92" s="9" t="str">
        <x:v>Store payment/order/invoice IDs, amount, currency, status, start/expiry and renewal</x:v>
      </x:c>
      <x:c r="D92" s="8" t="str">
        <x:v>In progress</x:v>
      </x:c>
      <x:c r="E92" s="11" t="str">
        <x:v>Build 2</x:v>
      </x:c>
      <x:c r="F92" s="9" t="str">
        <x:v>Local order and test-payment references, amount, currency, status and term are stored; renewal is pending.</x:v>
      </x:c>
    </x:row>
    <x:row r="93" ht="44" customHeight="1">
      <x:c r="A93" s="10" t="str">
        <x:v>M-13</x:v>
      </x:c>
      <x:c r="B93" s="8" t="str">
        <x:v>Subscriptions and payments</x:v>
      </x:c>
      <x:c r="C93" s="9" t="str">
        <x:v>Enforce premium access on the server</x:v>
      </x:c>
      <x:c r="D93" s="8" t="str">
        <x:v>Planned</x:v>
      </x:c>
      <x:c r="E93" s="11" t="str">
        <x:v>Build 2</x:v>
      </x:c>
      <x:c r="F93" s="9" t="str">
        <x:v>Protected media access begins in Build 2.</x:v>
      </x:c>
    </x:row>
    <x:row r="94" ht="44" customHeight="1">
      <x:c r="A94" s="10" t="str">
        <x:v>M-14</x:v>
      </x:c>
      <x:c r="B94" s="8" t="str">
        <x:v>Subscriptions and payments</x:v>
      </x:c>
      <x:c r="C94" s="9" t="str">
        <x:v>Downgrade expired plans to Free while retaining user data and watch history</x:v>
      </x:c>
      <x:c r="D94" s="8" t="str">
        <x:v>In progress</x:v>
      </x:c>
      <x:c r="E94" s="11" t="str">
        <x:v>Build 2</x:v>
      </x:c>
      <x:c r="F94" s="9" t="str">
        <x:v>An expired paid record reads as Free without changing account or history; full expiry workflow remains.</x:v>
      </x:c>
    </x:row>
    <x:row r="95" ht="44" customHeight="1">
      <x:c r="A95" s="10" t="str">
        <x:v>M-15</x:v>
      </x:c>
      <x:c r="B95" s="8" t="str">
        <x:v>Subscriptions and payments</x:v>
      </x:c>
      <x:c r="C95" s="9" t="str">
        <x:v>Email invoice, receipt, plan, validity, transaction and support details</x:v>
      </x:c>
      <x:c r="D95" s="8" t="str">
        <x:v>Planned</x:v>
      </x:c>
      <x:c r="E95" s="11" t="str">
        <x:v>Build 2</x:v>
      </x:c>
      <x:c r="F95" s="9" t="str">
        <x:v>Start with Mailpit; real email delivery is later.</x:v>
      </x:c>
    </x:row>
  </x:sheetData>
  <x:conditionalFormatting sqref="D6:D95">
    <x:cfRule type="containsText" dxfId="0" priority="1" operator="containsText" text="Completed"/>
    <x:cfRule type="containsText" dxfId="1" priority="2" operator="containsText" text="In progress"/>
    <x:cfRule type="containsText" dxfId="2" priority="3" operator="containsText" text="Planned"/>
  </x:conditionalFormatting>
  <x:dataValidations count="1">
    <x:dataValidation type="list" sqref="D6:D95">
      <x:formula1>"Completed,In progress,Planned"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7f1eef25e846cb"/>
  </x:tableParts>
</x:worksheet>
</file>